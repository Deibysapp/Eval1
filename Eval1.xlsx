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Evaluacion Asesores\"/>
    </mc:Choice>
  </mc:AlternateContent>
  <xr:revisionPtr revIDLastSave="0" documentId="13_ncr:1_{20133EAE-402B-44D9-89FC-E923FB4A893B}" xr6:coauthVersionLast="47" xr6:coauthVersionMax="47" xr10:uidLastSave="{00000000-0000-0000-0000-000000000000}"/>
  <bookViews>
    <workbookView xWindow="-120" yWindow="-120" windowWidth="20730" windowHeight="11040" xr2:uid="{9F464F4F-AE2E-4692-B991-6D68C8E444AE}"/>
  </bookViews>
  <sheets>
    <sheet name="Evaluacion" sheetId="1" r:id="rId1"/>
    <sheet name="Registro Fotografic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8" i="1" l="1"/>
  <c r="G34" i="1"/>
  <c r="G29" i="1"/>
  <c r="G24" i="1"/>
  <c r="G9" i="1"/>
  <c r="G16" i="1"/>
  <c r="A2" i="1"/>
</calcChain>
</file>

<file path=xl/sharedStrings.xml><?xml version="1.0" encoding="utf-8"?>
<sst xmlns="http://schemas.openxmlformats.org/spreadsheetml/2006/main" count="68" uniqueCount="63">
  <si>
    <t>Evaluación de Gestión del Vendedor</t>
  </si>
  <si>
    <t xml:space="preserve">Fecha:                                                    </t>
  </si>
  <si>
    <t>Puntaje de evaluación</t>
  </si>
  <si>
    <t xml:space="preserve">                                                               0.- No cumple</t>
  </si>
  <si>
    <t>Vendedor:</t>
  </si>
  <si>
    <t>Ruta:</t>
  </si>
  <si>
    <t xml:space="preserve">                                                               1.- Deficiente</t>
  </si>
  <si>
    <t>Evaluador:</t>
  </si>
  <si>
    <t xml:space="preserve">                                                               2.- Regular</t>
  </si>
  <si>
    <t>Puntos a evaluar</t>
  </si>
  <si>
    <t>Evaluación de Trabajo de Campo</t>
  </si>
  <si>
    <t>Puntaje Total</t>
  </si>
  <si>
    <t>Puntaje</t>
  </si>
  <si>
    <t xml:space="preserve">                                                               3.- Bueno</t>
  </si>
  <si>
    <t>Actitud de Ventas</t>
  </si>
  <si>
    <t>Buena presencia y puntualidad</t>
  </si>
  <si>
    <t xml:space="preserve">                                                               4.- Excelente</t>
  </si>
  <si>
    <t>Secuencia de visitas de acuerdo al rutero</t>
  </si>
  <si>
    <r>
      <t xml:space="preserve">Nota: </t>
    </r>
    <r>
      <rPr>
        <sz val="10"/>
        <rFont val="Arial"/>
        <family val="2"/>
      </rPr>
      <t>Puntuación Máxima de evaluación por item es igual a 4</t>
    </r>
  </si>
  <si>
    <t>Toma pedidos y cobranzas en el movil y sincroniza en los tiempos oportunos.</t>
  </si>
  <si>
    <t>Fortalezas</t>
  </si>
  <si>
    <t>,</t>
  </si>
  <si>
    <t>Pasos de la Visita Organizada</t>
  </si>
  <si>
    <t>Contacto y acercamiento</t>
  </si>
  <si>
    <t>Chequeo de Inventario</t>
  </si>
  <si>
    <t>Identificación de oportunidades en el PDV</t>
  </si>
  <si>
    <t>Ejecución del producto en stock de inventario (Merchandising)</t>
  </si>
  <si>
    <t>Asesoramiento y negociación del pedido</t>
  </si>
  <si>
    <t>Debilidades</t>
  </si>
  <si>
    <t>Dominio de la Venta</t>
  </si>
  <si>
    <t>Gestiona todo el portafolio de productos</t>
  </si>
  <si>
    <t>Ofrece innovaciones o promociones</t>
  </si>
  <si>
    <t>Negociacion de espacios adicionales</t>
  </si>
  <si>
    <t>Material P.O.P y Planogramas</t>
  </si>
  <si>
    <t>Presencia de material P.O.P vigente</t>
  </si>
  <si>
    <t>Evalua el cumplimiento del Planograma de Marcas</t>
  </si>
  <si>
    <t>PROFUNDIDAD DE LINEAS</t>
  </si>
  <si>
    <t>PUNTAJE TOTAL OBTENIDO EN LA EVALUACIÓN</t>
  </si>
  <si>
    <t>Empresa</t>
  </si>
  <si>
    <t>Acciones y acuerdos hasta el proximo contacto</t>
  </si>
  <si>
    <t>Organización y Uso de material de trabajo (Catalogo, Planificador,  facturas, lista de precios)</t>
  </si>
  <si>
    <t>Asistencia a reuniones, auditorias, contacto 1 a 1</t>
  </si>
  <si>
    <t>Informa las incideancias de la ruta al supervisor en los tiempos oportunos.</t>
  </si>
  <si>
    <t>Preparación de la visita (Planificacion mensual, semanal, diaria</t>
  </si>
  <si>
    <t>Cobranza y cierre de la visita (Indicacion de Politicas)</t>
  </si>
  <si>
    <t>Revisión y actualización de indicadores de precios en PDV</t>
  </si>
  <si>
    <t>Garantiza que los exhibidores o espacios negociados no esten invadidos</t>
  </si>
  <si>
    <t>Evalua limpieza de los exhibidores o espacios negociados</t>
  </si>
  <si>
    <t>Ofrece Marcas Isola, Alfonzo Rivas</t>
  </si>
  <si>
    <t>Ofrece Marcas Miceven, Puig, Gaduca, Calven</t>
  </si>
  <si>
    <t>Ofrece Marcas Parmalat, PAVECA, Polar, Pepsi</t>
  </si>
  <si>
    <t>Cliente 1</t>
  </si>
  <si>
    <t>Cliente 2</t>
  </si>
  <si>
    <t>Cliente 3</t>
  </si>
  <si>
    <t>Cliente 4</t>
  </si>
  <si>
    <t>Cliente 5</t>
  </si>
  <si>
    <t>Fachada de PDV</t>
  </si>
  <si>
    <t>Anaquel Principal</t>
  </si>
  <si>
    <t>Checkout</t>
  </si>
  <si>
    <t>Exhibicion Adicional</t>
  </si>
  <si>
    <t>Reporte Fotografico</t>
  </si>
  <si>
    <t>Link de Registro Fotografico</t>
  </si>
  <si>
    <t>Ofrece Marcas Alinieve/Giomar, Incosa, Alesca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</si>
</sst>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0"/>
      <color theme="0"/>
      <name val="Arial"/>
      <family val="2"/>
    </font>
    <font>
      <sz val="9"/>
      <color theme="0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sz val="9"/>
      <name val="Arial"/>
      <family val="2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249977111117893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1" fillId="0" borderId="0" xfId="0" applyFont="1"/>
    <xf numFmtId="0" fontId="4" fillId="3" borderId="3" xfId="0" applyFont="1" applyFill="1" applyBorder="1" applyAlignment="1">
      <alignment vertical="center" wrapText="1"/>
    </xf>
    <xf numFmtId="0" fontId="3" fillId="0" borderId="0" xfId="0" applyFont="1"/>
    <xf numFmtId="0" fontId="5" fillId="4" borderId="1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left" vertical="center" wrapText="1"/>
    </xf>
    <xf numFmtId="0" fontId="6" fillId="0" borderId="0" xfId="0" applyFont="1"/>
    <xf numFmtId="0" fontId="4" fillId="3" borderId="4" xfId="0" applyFont="1" applyFill="1" applyBorder="1" applyAlignment="1">
      <alignment vertical="center" wrapText="1"/>
    </xf>
    <xf numFmtId="0" fontId="4" fillId="3" borderId="5" xfId="0" applyFont="1" applyFill="1" applyBorder="1" applyAlignment="1">
      <alignment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164" fontId="7" fillId="0" borderId="14" xfId="0" applyNumberFormat="1" applyFont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7" fillId="0" borderId="5" xfId="0" applyFont="1" applyBorder="1" applyAlignment="1">
      <alignment horizontal="center" vertical="center"/>
    </xf>
    <xf numFmtId="164" fontId="3" fillId="0" borderId="14" xfId="0" applyNumberFormat="1" applyFont="1" applyBorder="1" applyAlignment="1">
      <alignment horizontal="center" vertical="center"/>
    </xf>
    <xf numFmtId="164" fontId="7" fillId="0" borderId="10" xfId="0" applyNumberFormat="1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 wrapText="1"/>
    </xf>
    <xf numFmtId="164" fontId="7" fillId="0" borderId="3" xfId="0" applyNumberFormat="1" applyFont="1" applyBorder="1" applyAlignment="1">
      <alignment horizontal="center" vertical="center"/>
    </xf>
    <xf numFmtId="164" fontId="7" fillId="0" borderId="12" xfId="0" applyNumberFormat="1" applyFont="1" applyBorder="1" applyAlignment="1">
      <alignment horizontal="center" vertical="center"/>
    </xf>
    <xf numFmtId="164" fontId="7" fillId="0" borderId="5" xfId="0" applyNumberFormat="1" applyFont="1" applyBorder="1" applyAlignment="1">
      <alignment horizontal="center" vertical="center"/>
    </xf>
    <xf numFmtId="0" fontId="7" fillId="0" borderId="12" xfId="0" applyFont="1" applyBorder="1" applyAlignment="1">
      <alignment vertical="center"/>
    </xf>
    <xf numFmtId="0" fontId="9" fillId="0" borderId="12" xfId="0" applyFont="1" applyBorder="1" applyAlignment="1">
      <alignment vertical="center" wrapText="1"/>
    </xf>
    <xf numFmtId="0" fontId="7" fillId="0" borderId="12" xfId="0" applyFont="1" applyBorder="1" applyAlignment="1">
      <alignment vertical="center" wrapText="1"/>
    </xf>
    <xf numFmtId="0" fontId="7" fillId="0" borderId="12" xfId="0" applyFont="1" applyBorder="1" applyAlignment="1">
      <alignment horizontal="left" vertical="center" wrapText="1"/>
    </xf>
    <xf numFmtId="2" fontId="4" fillId="0" borderId="3" xfId="0" applyNumberFormat="1" applyFont="1" applyBorder="1" applyAlignment="1">
      <alignment vertical="center"/>
    </xf>
    <xf numFmtId="2" fontId="4" fillId="0" borderId="4" xfId="0" applyNumberFormat="1" applyFont="1" applyBorder="1" applyAlignment="1">
      <alignment vertical="center"/>
    </xf>
    <xf numFmtId="2" fontId="10" fillId="0" borderId="5" xfId="0" applyNumberFormat="1" applyFont="1" applyBorder="1" applyAlignment="1">
      <alignment vertical="center"/>
    </xf>
    <xf numFmtId="164" fontId="7" fillId="0" borderId="3" xfId="0" applyNumberFormat="1" applyFont="1" applyBorder="1" applyAlignment="1">
      <alignment horizontal="center" vertical="center"/>
    </xf>
    <xf numFmtId="164" fontId="7" fillId="0" borderId="4" xfId="0" applyNumberFormat="1" applyFont="1" applyBorder="1" applyAlignment="1">
      <alignment horizontal="center" vertical="center"/>
    </xf>
    <xf numFmtId="164" fontId="7" fillId="0" borderId="5" xfId="0" applyNumberFormat="1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top" wrapText="1"/>
    </xf>
    <xf numFmtId="0" fontId="8" fillId="0" borderId="21" xfId="0" applyFont="1" applyBorder="1" applyAlignment="1">
      <alignment horizontal="center" vertical="top" wrapText="1"/>
    </xf>
    <xf numFmtId="0" fontId="8" fillId="0" borderId="22" xfId="0" applyFont="1" applyBorder="1" applyAlignment="1">
      <alignment horizontal="center" vertical="top" wrapText="1"/>
    </xf>
    <xf numFmtId="0" fontId="8" fillId="0" borderId="20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5" fillId="4" borderId="3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0" fontId="7" fillId="0" borderId="17" xfId="0" applyFont="1" applyBorder="1" applyAlignment="1">
      <alignment vertical="center"/>
    </xf>
    <xf numFmtId="0" fontId="7" fillId="0" borderId="18" xfId="0" applyFont="1" applyBorder="1" applyAlignment="1">
      <alignment vertical="center"/>
    </xf>
    <xf numFmtId="0" fontId="7" fillId="0" borderId="19" xfId="0" applyFont="1" applyBorder="1" applyAlignment="1">
      <alignment vertical="center"/>
    </xf>
    <xf numFmtId="0" fontId="4" fillId="3" borderId="4" xfId="0" applyFont="1" applyFill="1" applyBorder="1" applyAlignment="1">
      <alignment horizontal="center" vertical="center" wrapText="1"/>
    </xf>
    <xf numFmtId="0" fontId="3" fillId="5" borderId="9" xfId="0" applyFont="1" applyFill="1" applyBorder="1"/>
    <xf numFmtId="0" fontId="3" fillId="5" borderId="15" xfId="0" applyFont="1" applyFill="1" applyBorder="1"/>
    <xf numFmtId="0" fontId="3" fillId="5" borderId="10" xfId="0" applyFont="1" applyFill="1" applyBorder="1"/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164" fontId="7" fillId="0" borderId="11" xfId="0" applyNumberFormat="1" applyFont="1" applyBorder="1" applyAlignment="1">
      <alignment horizontal="center" vertical="center"/>
    </xf>
    <xf numFmtId="164" fontId="7" fillId="0" borderId="13" xfId="0" applyNumberFormat="1" applyFont="1" applyBorder="1" applyAlignment="1">
      <alignment horizontal="center" vertical="center"/>
    </xf>
    <xf numFmtId="164" fontId="7" fillId="0" borderId="14" xfId="0" applyNumberFormat="1" applyFont="1" applyBorder="1" applyAlignment="1">
      <alignment horizontal="center" vertical="center"/>
    </xf>
    <xf numFmtId="0" fontId="7" fillId="0" borderId="3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3" fillId="5" borderId="6" xfId="0" applyFont="1" applyFill="1" applyBorder="1"/>
    <xf numFmtId="0" fontId="3" fillId="5" borderId="0" xfId="0" applyFont="1" applyFill="1"/>
    <xf numFmtId="0" fontId="4" fillId="0" borderId="16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164" fontId="7" fillId="0" borderId="2" xfId="0" applyNumberFormat="1" applyFont="1" applyBorder="1" applyAlignment="1">
      <alignment horizontal="center" vertical="center"/>
    </xf>
    <xf numFmtId="164" fontId="7" fillId="0" borderId="7" xfId="0" applyNumberFormat="1" applyFont="1" applyBorder="1" applyAlignment="1">
      <alignment horizontal="center" vertical="center"/>
    </xf>
    <xf numFmtId="164" fontId="7" fillId="0" borderId="10" xfId="0" applyNumberFormat="1" applyFont="1" applyBorder="1" applyAlignment="1">
      <alignment horizontal="center" vertical="center"/>
    </xf>
    <xf numFmtId="0" fontId="3" fillId="5" borderId="9" xfId="0" applyFont="1" applyFill="1" applyBorder="1" applyAlignment="1">
      <alignment horizontal="left"/>
    </xf>
    <xf numFmtId="0" fontId="3" fillId="5" borderId="15" xfId="0" applyFont="1" applyFill="1" applyBorder="1" applyAlignment="1">
      <alignment horizontal="left"/>
    </xf>
    <xf numFmtId="0" fontId="3" fillId="5" borderId="10" xfId="0" applyFont="1" applyFill="1" applyBorder="1" applyAlignment="1">
      <alignment horizontal="left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7" fillId="0" borderId="3" xfId="0" applyFont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164" fontId="3" fillId="0" borderId="13" xfId="0" applyNumberFormat="1" applyFont="1" applyBorder="1" applyAlignment="1">
      <alignment horizontal="center" vertical="center"/>
    </xf>
    <xf numFmtId="164" fontId="3" fillId="0" borderId="14" xfId="0" applyNumberFormat="1" applyFont="1" applyBorder="1" applyAlignment="1">
      <alignment horizontal="center" vertical="center"/>
    </xf>
    <xf numFmtId="0" fontId="9" fillId="0" borderId="3" xfId="0" applyFont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0" fontId="7" fillId="0" borderId="3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5" fillId="4" borderId="5" xfId="0" applyFont="1" applyFill="1" applyBorder="1" applyAlignment="1">
      <alignment horizontal="center" vertical="center" wrapText="1"/>
    </xf>
    <xf numFmtId="0" fontId="7" fillId="0" borderId="5" xfId="0" applyFont="1" applyBorder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3" fillId="2" borderId="6" xfId="0" applyFont="1" applyFill="1" applyBorder="1" applyAlignment="1">
      <alignment horizontal="center" wrapText="1"/>
    </xf>
    <xf numFmtId="0" fontId="3" fillId="2" borderId="7" xfId="0" applyFont="1" applyFill="1" applyBorder="1" applyAlignment="1">
      <alignment horizontal="center" wrapText="1"/>
    </xf>
    <xf numFmtId="0" fontId="3" fillId="2" borderId="9" xfId="0" applyFont="1" applyFill="1" applyBorder="1" applyAlignment="1">
      <alignment horizontal="center" wrapText="1"/>
    </xf>
    <xf numFmtId="0" fontId="3" fillId="2" borderId="10" xfId="0" applyFont="1" applyFill="1" applyBorder="1" applyAlignment="1">
      <alignment horizontal="center" wrapText="1"/>
    </xf>
    <xf numFmtId="14" fontId="4" fillId="3" borderId="4" xfId="0" applyNumberFormat="1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9" fillId="0" borderId="5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63A7A-A382-4549-8F01-FE3021E6B712}">
  <sheetPr>
    <pageSetUpPr fitToPage="1"/>
  </sheetPr>
  <dimension ref="A1:Q41"/>
  <sheetViews>
    <sheetView tabSelected="1" topLeftCell="A16" zoomScale="60" zoomScaleNormal="60" workbookViewId="0">
      <selection activeCell="D36" sqref="D36:F36"/>
    </sheetView>
  </sheetViews>
  <sheetFormatPr baseColWidth="10" defaultColWidth="11.5703125" defaultRowHeight="12" x14ac:dyDescent="0.2"/>
  <cols>
    <col min="1" max="1" width="5.28515625" style="1" customWidth="1"/>
    <col min="2" max="3" width="12.7109375" style="1" customWidth="1"/>
    <col min="4" max="4" width="12.42578125" style="1" customWidth="1"/>
    <col min="5" max="5" width="11.5703125" style="1"/>
    <col min="6" max="6" width="25.85546875" style="1" customWidth="1"/>
    <col min="7" max="11" width="13.28515625" style="1" customWidth="1"/>
    <col min="12" max="12" width="11" style="1" customWidth="1"/>
    <col min="13" max="13" width="4" style="1" customWidth="1"/>
    <col min="14" max="14" width="92.5703125" style="1" customWidth="1"/>
    <col min="15" max="253" width="11.5703125" style="1"/>
    <col min="254" max="254" width="7.7109375" style="1" customWidth="1"/>
    <col min="255" max="255" width="12.42578125" style="1" customWidth="1"/>
    <col min="256" max="258" width="11.5703125" style="1"/>
    <col min="259" max="259" width="5.140625" style="1" customWidth="1"/>
    <col min="260" max="260" width="1.85546875" style="1" customWidth="1"/>
    <col min="261" max="509" width="11.5703125" style="1"/>
    <col min="510" max="510" width="7.7109375" style="1" customWidth="1"/>
    <col min="511" max="511" width="12.42578125" style="1" customWidth="1"/>
    <col min="512" max="514" width="11.5703125" style="1"/>
    <col min="515" max="515" width="5.140625" style="1" customWidth="1"/>
    <col min="516" max="516" width="1.85546875" style="1" customWidth="1"/>
    <col min="517" max="765" width="11.5703125" style="1"/>
    <col min="766" max="766" width="7.7109375" style="1" customWidth="1"/>
    <col min="767" max="767" width="12.42578125" style="1" customWidth="1"/>
    <col min="768" max="770" width="11.5703125" style="1"/>
    <col min="771" max="771" width="5.140625" style="1" customWidth="1"/>
    <col min="772" max="772" width="1.85546875" style="1" customWidth="1"/>
    <col min="773" max="1021" width="11.5703125" style="1"/>
    <col min="1022" max="1022" width="7.7109375" style="1" customWidth="1"/>
    <col min="1023" max="1023" width="12.42578125" style="1" customWidth="1"/>
    <col min="1024" max="1026" width="11.5703125" style="1"/>
    <col min="1027" max="1027" width="5.140625" style="1" customWidth="1"/>
    <col min="1028" max="1028" width="1.85546875" style="1" customWidth="1"/>
    <col min="1029" max="1277" width="11.5703125" style="1"/>
    <col min="1278" max="1278" width="7.7109375" style="1" customWidth="1"/>
    <col min="1279" max="1279" width="12.42578125" style="1" customWidth="1"/>
    <col min="1280" max="1282" width="11.5703125" style="1"/>
    <col min="1283" max="1283" width="5.140625" style="1" customWidth="1"/>
    <col min="1284" max="1284" width="1.85546875" style="1" customWidth="1"/>
    <col min="1285" max="1533" width="11.5703125" style="1"/>
    <col min="1534" max="1534" width="7.7109375" style="1" customWidth="1"/>
    <col min="1535" max="1535" width="12.42578125" style="1" customWidth="1"/>
    <col min="1536" max="1538" width="11.5703125" style="1"/>
    <col min="1539" max="1539" width="5.140625" style="1" customWidth="1"/>
    <col min="1540" max="1540" width="1.85546875" style="1" customWidth="1"/>
    <col min="1541" max="1789" width="11.5703125" style="1"/>
    <col min="1790" max="1790" width="7.7109375" style="1" customWidth="1"/>
    <col min="1791" max="1791" width="12.42578125" style="1" customWidth="1"/>
    <col min="1792" max="1794" width="11.5703125" style="1"/>
    <col min="1795" max="1795" width="5.140625" style="1" customWidth="1"/>
    <col min="1796" max="1796" width="1.85546875" style="1" customWidth="1"/>
    <col min="1797" max="2045" width="11.5703125" style="1"/>
    <col min="2046" max="2046" width="7.7109375" style="1" customWidth="1"/>
    <col min="2047" max="2047" width="12.42578125" style="1" customWidth="1"/>
    <col min="2048" max="2050" width="11.5703125" style="1"/>
    <col min="2051" max="2051" width="5.140625" style="1" customWidth="1"/>
    <col min="2052" max="2052" width="1.85546875" style="1" customWidth="1"/>
    <col min="2053" max="2301" width="11.5703125" style="1"/>
    <col min="2302" max="2302" width="7.7109375" style="1" customWidth="1"/>
    <col min="2303" max="2303" width="12.42578125" style="1" customWidth="1"/>
    <col min="2304" max="2306" width="11.5703125" style="1"/>
    <col min="2307" max="2307" width="5.140625" style="1" customWidth="1"/>
    <col min="2308" max="2308" width="1.85546875" style="1" customWidth="1"/>
    <col min="2309" max="2557" width="11.5703125" style="1"/>
    <col min="2558" max="2558" width="7.7109375" style="1" customWidth="1"/>
    <col min="2559" max="2559" width="12.42578125" style="1" customWidth="1"/>
    <col min="2560" max="2562" width="11.5703125" style="1"/>
    <col min="2563" max="2563" width="5.140625" style="1" customWidth="1"/>
    <col min="2564" max="2564" width="1.85546875" style="1" customWidth="1"/>
    <col min="2565" max="2813" width="11.5703125" style="1"/>
    <col min="2814" max="2814" width="7.7109375" style="1" customWidth="1"/>
    <col min="2815" max="2815" width="12.42578125" style="1" customWidth="1"/>
    <col min="2816" max="2818" width="11.5703125" style="1"/>
    <col min="2819" max="2819" width="5.140625" style="1" customWidth="1"/>
    <col min="2820" max="2820" width="1.85546875" style="1" customWidth="1"/>
    <col min="2821" max="3069" width="11.5703125" style="1"/>
    <col min="3070" max="3070" width="7.7109375" style="1" customWidth="1"/>
    <col min="3071" max="3071" width="12.42578125" style="1" customWidth="1"/>
    <col min="3072" max="3074" width="11.5703125" style="1"/>
    <col min="3075" max="3075" width="5.140625" style="1" customWidth="1"/>
    <col min="3076" max="3076" width="1.85546875" style="1" customWidth="1"/>
    <col min="3077" max="3325" width="11.5703125" style="1"/>
    <col min="3326" max="3326" width="7.7109375" style="1" customWidth="1"/>
    <col min="3327" max="3327" width="12.42578125" style="1" customWidth="1"/>
    <col min="3328" max="3330" width="11.5703125" style="1"/>
    <col min="3331" max="3331" width="5.140625" style="1" customWidth="1"/>
    <col min="3332" max="3332" width="1.85546875" style="1" customWidth="1"/>
    <col min="3333" max="3581" width="11.5703125" style="1"/>
    <col min="3582" max="3582" width="7.7109375" style="1" customWidth="1"/>
    <col min="3583" max="3583" width="12.42578125" style="1" customWidth="1"/>
    <col min="3584" max="3586" width="11.5703125" style="1"/>
    <col min="3587" max="3587" width="5.140625" style="1" customWidth="1"/>
    <col min="3588" max="3588" width="1.85546875" style="1" customWidth="1"/>
    <col min="3589" max="3837" width="11.5703125" style="1"/>
    <col min="3838" max="3838" width="7.7109375" style="1" customWidth="1"/>
    <col min="3839" max="3839" width="12.42578125" style="1" customWidth="1"/>
    <col min="3840" max="3842" width="11.5703125" style="1"/>
    <col min="3843" max="3843" width="5.140625" style="1" customWidth="1"/>
    <col min="3844" max="3844" width="1.85546875" style="1" customWidth="1"/>
    <col min="3845" max="4093" width="11.5703125" style="1"/>
    <col min="4094" max="4094" width="7.7109375" style="1" customWidth="1"/>
    <col min="4095" max="4095" width="12.42578125" style="1" customWidth="1"/>
    <col min="4096" max="4098" width="11.5703125" style="1"/>
    <col min="4099" max="4099" width="5.140625" style="1" customWidth="1"/>
    <col min="4100" max="4100" width="1.85546875" style="1" customWidth="1"/>
    <col min="4101" max="4349" width="11.5703125" style="1"/>
    <col min="4350" max="4350" width="7.7109375" style="1" customWidth="1"/>
    <col min="4351" max="4351" width="12.42578125" style="1" customWidth="1"/>
    <col min="4352" max="4354" width="11.5703125" style="1"/>
    <col min="4355" max="4355" width="5.140625" style="1" customWidth="1"/>
    <col min="4356" max="4356" width="1.85546875" style="1" customWidth="1"/>
    <col min="4357" max="4605" width="11.5703125" style="1"/>
    <col min="4606" max="4606" width="7.7109375" style="1" customWidth="1"/>
    <col min="4607" max="4607" width="12.42578125" style="1" customWidth="1"/>
    <col min="4608" max="4610" width="11.5703125" style="1"/>
    <col min="4611" max="4611" width="5.140625" style="1" customWidth="1"/>
    <col min="4612" max="4612" width="1.85546875" style="1" customWidth="1"/>
    <col min="4613" max="4861" width="11.5703125" style="1"/>
    <col min="4862" max="4862" width="7.7109375" style="1" customWidth="1"/>
    <col min="4863" max="4863" width="12.42578125" style="1" customWidth="1"/>
    <col min="4864" max="4866" width="11.5703125" style="1"/>
    <col min="4867" max="4867" width="5.140625" style="1" customWidth="1"/>
    <col min="4868" max="4868" width="1.85546875" style="1" customWidth="1"/>
    <col min="4869" max="5117" width="11.5703125" style="1"/>
    <col min="5118" max="5118" width="7.7109375" style="1" customWidth="1"/>
    <col min="5119" max="5119" width="12.42578125" style="1" customWidth="1"/>
    <col min="5120" max="5122" width="11.5703125" style="1"/>
    <col min="5123" max="5123" width="5.140625" style="1" customWidth="1"/>
    <col min="5124" max="5124" width="1.85546875" style="1" customWidth="1"/>
    <col min="5125" max="5373" width="11.5703125" style="1"/>
    <col min="5374" max="5374" width="7.7109375" style="1" customWidth="1"/>
    <col min="5375" max="5375" width="12.42578125" style="1" customWidth="1"/>
    <col min="5376" max="5378" width="11.5703125" style="1"/>
    <col min="5379" max="5379" width="5.140625" style="1" customWidth="1"/>
    <col min="5380" max="5380" width="1.85546875" style="1" customWidth="1"/>
    <col min="5381" max="5629" width="11.5703125" style="1"/>
    <col min="5630" max="5630" width="7.7109375" style="1" customWidth="1"/>
    <col min="5631" max="5631" width="12.42578125" style="1" customWidth="1"/>
    <col min="5632" max="5634" width="11.5703125" style="1"/>
    <col min="5635" max="5635" width="5.140625" style="1" customWidth="1"/>
    <col min="5636" max="5636" width="1.85546875" style="1" customWidth="1"/>
    <col min="5637" max="5885" width="11.5703125" style="1"/>
    <col min="5886" max="5886" width="7.7109375" style="1" customWidth="1"/>
    <col min="5887" max="5887" width="12.42578125" style="1" customWidth="1"/>
    <col min="5888" max="5890" width="11.5703125" style="1"/>
    <col min="5891" max="5891" width="5.140625" style="1" customWidth="1"/>
    <col min="5892" max="5892" width="1.85546875" style="1" customWidth="1"/>
    <col min="5893" max="6141" width="11.5703125" style="1"/>
    <col min="6142" max="6142" width="7.7109375" style="1" customWidth="1"/>
    <col min="6143" max="6143" width="12.42578125" style="1" customWidth="1"/>
    <col min="6144" max="6146" width="11.5703125" style="1"/>
    <col min="6147" max="6147" width="5.140625" style="1" customWidth="1"/>
    <col min="6148" max="6148" width="1.85546875" style="1" customWidth="1"/>
    <col min="6149" max="6397" width="11.5703125" style="1"/>
    <col min="6398" max="6398" width="7.7109375" style="1" customWidth="1"/>
    <col min="6399" max="6399" width="12.42578125" style="1" customWidth="1"/>
    <col min="6400" max="6402" width="11.5703125" style="1"/>
    <col min="6403" max="6403" width="5.140625" style="1" customWidth="1"/>
    <col min="6404" max="6404" width="1.85546875" style="1" customWidth="1"/>
    <col min="6405" max="6653" width="11.5703125" style="1"/>
    <col min="6654" max="6654" width="7.7109375" style="1" customWidth="1"/>
    <col min="6655" max="6655" width="12.42578125" style="1" customWidth="1"/>
    <col min="6656" max="6658" width="11.5703125" style="1"/>
    <col min="6659" max="6659" width="5.140625" style="1" customWidth="1"/>
    <col min="6660" max="6660" width="1.85546875" style="1" customWidth="1"/>
    <col min="6661" max="6909" width="11.5703125" style="1"/>
    <col min="6910" max="6910" width="7.7109375" style="1" customWidth="1"/>
    <col min="6911" max="6911" width="12.42578125" style="1" customWidth="1"/>
    <col min="6912" max="6914" width="11.5703125" style="1"/>
    <col min="6915" max="6915" width="5.140625" style="1" customWidth="1"/>
    <col min="6916" max="6916" width="1.85546875" style="1" customWidth="1"/>
    <col min="6917" max="7165" width="11.5703125" style="1"/>
    <col min="7166" max="7166" width="7.7109375" style="1" customWidth="1"/>
    <col min="7167" max="7167" width="12.42578125" style="1" customWidth="1"/>
    <col min="7168" max="7170" width="11.5703125" style="1"/>
    <col min="7171" max="7171" width="5.140625" style="1" customWidth="1"/>
    <col min="7172" max="7172" width="1.85546875" style="1" customWidth="1"/>
    <col min="7173" max="7421" width="11.5703125" style="1"/>
    <col min="7422" max="7422" width="7.7109375" style="1" customWidth="1"/>
    <col min="7423" max="7423" width="12.42578125" style="1" customWidth="1"/>
    <col min="7424" max="7426" width="11.5703125" style="1"/>
    <col min="7427" max="7427" width="5.140625" style="1" customWidth="1"/>
    <col min="7428" max="7428" width="1.85546875" style="1" customWidth="1"/>
    <col min="7429" max="7677" width="11.5703125" style="1"/>
    <col min="7678" max="7678" width="7.7109375" style="1" customWidth="1"/>
    <col min="7679" max="7679" width="12.42578125" style="1" customWidth="1"/>
    <col min="7680" max="7682" width="11.5703125" style="1"/>
    <col min="7683" max="7683" width="5.140625" style="1" customWidth="1"/>
    <col min="7684" max="7684" width="1.85546875" style="1" customWidth="1"/>
    <col min="7685" max="7933" width="11.5703125" style="1"/>
    <col min="7934" max="7934" width="7.7109375" style="1" customWidth="1"/>
    <col min="7935" max="7935" width="12.42578125" style="1" customWidth="1"/>
    <col min="7936" max="7938" width="11.5703125" style="1"/>
    <col min="7939" max="7939" width="5.140625" style="1" customWidth="1"/>
    <col min="7940" max="7940" width="1.85546875" style="1" customWidth="1"/>
    <col min="7941" max="8189" width="11.5703125" style="1"/>
    <col min="8190" max="8190" width="7.7109375" style="1" customWidth="1"/>
    <col min="8191" max="8191" width="12.42578125" style="1" customWidth="1"/>
    <col min="8192" max="8194" width="11.5703125" style="1"/>
    <col min="8195" max="8195" width="5.140625" style="1" customWidth="1"/>
    <col min="8196" max="8196" width="1.85546875" style="1" customWidth="1"/>
    <col min="8197" max="8445" width="11.5703125" style="1"/>
    <col min="8446" max="8446" width="7.7109375" style="1" customWidth="1"/>
    <col min="8447" max="8447" width="12.42578125" style="1" customWidth="1"/>
    <col min="8448" max="8450" width="11.5703125" style="1"/>
    <col min="8451" max="8451" width="5.140625" style="1" customWidth="1"/>
    <col min="8452" max="8452" width="1.85546875" style="1" customWidth="1"/>
    <col min="8453" max="8701" width="11.5703125" style="1"/>
    <col min="8702" max="8702" width="7.7109375" style="1" customWidth="1"/>
    <col min="8703" max="8703" width="12.42578125" style="1" customWidth="1"/>
    <col min="8704" max="8706" width="11.5703125" style="1"/>
    <col min="8707" max="8707" width="5.140625" style="1" customWidth="1"/>
    <col min="8708" max="8708" width="1.85546875" style="1" customWidth="1"/>
    <col min="8709" max="8957" width="11.5703125" style="1"/>
    <col min="8958" max="8958" width="7.7109375" style="1" customWidth="1"/>
    <col min="8959" max="8959" width="12.42578125" style="1" customWidth="1"/>
    <col min="8960" max="8962" width="11.5703125" style="1"/>
    <col min="8963" max="8963" width="5.140625" style="1" customWidth="1"/>
    <col min="8964" max="8964" width="1.85546875" style="1" customWidth="1"/>
    <col min="8965" max="9213" width="11.5703125" style="1"/>
    <col min="9214" max="9214" width="7.7109375" style="1" customWidth="1"/>
    <col min="9215" max="9215" width="12.42578125" style="1" customWidth="1"/>
    <col min="9216" max="9218" width="11.5703125" style="1"/>
    <col min="9219" max="9219" width="5.140625" style="1" customWidth="1"/>
    <col min="9220" max="9220" width="1.85546875" style="1" customWidth="1"/>
    <col min="9221" max="9469" width="11.5703125" style="1"/>
    <col min="9470" max="9470" width="7.7109375" style="1" customWidth="1"/>
    <col min="9471" max="9471" width="12.42578125" style="1" customWidth="1"/>
    <col min="9472" max="9474" width="11.5703125" style="1"/>
    <col min="9475" max="9475" width="5.140625" style="1" customWidth="1"/>
    <col min="9476" max="9476" width="1.85546875" style="1" customWidth="1"/>
    <col min="9477" max="9725" width="11.5703125" style="1"/>
    <col min="9726" max="9726" width="7.7109375" style="1" customWidth="1"/>
    <col min="9727" max="9727" width="12.42578125" style="1" customWidth="1"/>
    <col min="9728" max="9730" width="11.5703125" style="1"/>
    <col min="9731" max="9731" width="5.140625" style="1" customWidth="1"/>
    <col min="9732" max="9732" width="1.85546875" style="1" customWidth="1"/>
    <col min="9733" max="9981" width="11.5703125" style="1"/>
    <col min="9982" max="9982" width="7.7109375" style="1" customWidth="1"/>
    <col min="9983" max="9983" width="12.42578125" style="1" customWidth="1"/>
    <col min="9984" max="9986" width="11.5703125" style="1"/>
    <col min="9987" max="9987" width="5.140625" style="1" customWidth="1"/>
    <col min="9988" max="9988" width="1.85546875" style="1" customWidth="1"/>
    <col min="9989" max="10237" width="11.5703125" style="1"/>
    <col min="10238" max="10238" width="7.7109375" style="1" customWidth="1"/>
    <col min="10239" max="10239" width="12.42578125" style="1" customWidth="1"/>
    <col min="10240" max="10242" width="11.5703125" style="1"/>
    <col min="10243" max="10243" width="5.140625" style="1" customWidth="1"/>
    <col min="10244" max="10244" width="1.85546875" style="1" customWidth="1"/>
    <col min="10245" max="10493" width="11.5703125" style="1"/>
    <col min="10494" max="10494" width="7.7109375" style="1" customWidth="1"/>
    <col min="10495" max="10495" width="12.42578125" style="1" customWidth="1"/>
    <col min="10496" max="10498" width="11.5703125" style="1"/>
    <col min="10499" max="10499" width="5.140625" style="1" customWidth="1"/>
    <col min="10500" max="10500" width="1.85546875" style="1" customWidth="1"/>
    <col min="10501" max="10749" width="11.5703125" style="1"/>
    <col min="10750" max="10750" width="7.7109375" style="1" customWidth="1"/>
    <col min="10751" max="10751" width="12.42578125" style="1" customWidth="1"/>
    <col min="10752" max="10754" width="11.5703125" style="1"/>
    <col min="10755" max="10755" width="5.140625" style="1" customWidth="1"/>
    <col min="10756" max="10756" width="1.85546875" style="1" customWidth="1"/>
    <col min="10757" max="11005" width="11.5703125" style="1"/>
    <col min="11006" max="11006" width="7.7109375" style="1" customWidth="1"/>
    <col min="11007" max="11007" width="12.42578125" style="1" customWidth="1"/>
    <col min="11008" max="11010" width="11.5703125" style="1"/>
    <col min="11011" max="11011" width="5.140625" style="1" customWidth="1"/>
    <col min="11012" max="11012" width="1.85546875" style="1" customWidth="1"/>
    <col min="11013" max="11261" width="11.5703125" style="1"/>
    <col min="11262" max="11262" width="7.7109375" style="1" customWidth="1"/>
    <col min="11263" max="11263" width="12.42578125" style="1" customWidth="1"/>
    <col min="11264" max="11266" width="11.5703125" style="1"/>
    <col min="11267" max="11267" width="5.140625" style="1" customWidth="1"/>
    <col min="11268" max="11268" width="1.85546875" style="1" customWidth="1"/>
    <col min="11269" max="11517" width="11.5703125" style="1"/>
    <col min="11518" max="11518" width="7.7109375" style="1" customWidth="1"/>
    <col min="11519" max="11519" width="12.42578125" style="1" customWidth="1"/>
    <col min="11520" max="11522" width="11.5703125" style="1"/>
    <col min="11523" max="11523" width="5.140625" style="1" customWidth="1"/>
    <col min="11524" max="11524" width="1.85546875" style="1" customWidth="1"/>
    <col min="11525" max="11773" width="11.5703125" style="1"/>
    <col min="11774" max="11774" width="7.7109375" style="1" customWidth="1"/>
    <col min="11775" max="11775" width="12.42578125" style="1" customWidth="1"/>
    <col min="11776" max="11778" width="11.5703125" style="1"/>
    <col min="11779" max="11779" width="5.140625" style="1" customWidth="1"/>
    <col min="11780" max="11780" width="1.85546875" style="1" customWidth="1"/>
    <col min="11781" max="12029" width="11.5703125" style="1"/>
    <col min="12030" max="12030" width="7.7109375" style="1" customWidth="1"/>
    <col min="12031" max="12031" width="12.42578125" style="1" customWidth="1"/>
    <col min="12032" max="12034" width="11.5703125" style="1"/>
    <col min="12035" max="12035" width="5.140625" style="1" customWidth="1"/>
    <col min="12036" max="12036" width="1.85546875" style="1" customWidth="1"/>
    <col min="12037" max="12285" width="11.5703125" style="1"/>
    <col min="12286" max="12286" width="7.7109375" style="1" customWidth="1"/>
    <col min="12287" max="12287" width="12.42578125" style="1" customWidth="1"/>
    <col min="12288" max="12290" width="11.5703125" style="1"/>
    <col min="12291" max="12291" width="5.140625" style="1" customWidth="1"/>
    <col min="12292" max="12292" width="1.85546875" style="1" customWidth="1"/>
    <col min="12293" max="12541" width="11.5703125" style="1"/>
    <col min="12542" max="12542" width="7.7109375" style="1" customWidth="1"/>
    <col min="12543" max="12543" width="12.42578125" style="1" customWidth="1"/>
    <col min="12544" max="12546" width="11.5703125" style="1"/>
    <col min="12547" max="12547" width="5.140625" style="1" customWidth="1"/>
    <col min="12548" max="12548" width="1.85546875" style="1" customWidth="1"/>
    <col min="12549" max="12797" width="11.5703125" style="1"/>
    <col min="12798" max="12798" width="7.7109375" style="1" customWidth="1"/>
    <col min="12799" max="12799" width="12.42578125" style="1" customWidth="1"/>
    <col min="12800" max="12802" width="11.5703125" style="1"/>
    <col min="12803" max="12803" width="5.140625" style="1" customWidth="1"/>
    <col min="12804" max="12804" width="1.85546875" style="1" customWidth="1"/>
    <col min="12805" max="13053" width="11.5703125" style="1"/>
    <col min="13054" max="13054" width="7.7109375" style="1" customWidth="1"/>
    <col min="13055" max="13055" width="12.42578125" style="1" customWidth="1"/>
    <col min="13056" max="13058" width="11.5703125" style="1"/>
    <col min="13059" max="13059" width="5.140625" style="1" customWidth="1"/>
    <col min="13060" max="13060" width="1.85546875" style="1" customWidth="1"/>
    <col min="13061" max="13309" width="11.5703125" style="1"/>
    <col min="13310" max="13310" width="7.7109375" style="1" customWidth="1"/>
    <col min="13311" max="13311" width="12.42578125" style="1" customWidth="1"/>
    <col min="13312" max="13314" width="11.5703125" style="1"/>
    <col min="13315" max="13315" width="5.140625" style="1" customWidth="1"/>
    <col min="13316" max="13316" width="1.85546875" style="1" customWidth="1"/>
    <col min="13317" max="13565" width="11.5703125" style="1"/>
    <col min="13566" max="13566" width="7.7109375" style="1" customWidth="1"/>
    <col min="13567" max="13567" width="12.42578125" style="1" customWidth="1"/>
    <col min="13568" max="13570" width="11.5703125" style="1"/>
    <col min="13571" max="13571" width="5.140625" style="1" customWidth="1"/>
    <col min="13572" max="13572" width="1.85546875" style="1" customWidth="1"/>
    <col min="13573" max="13821" width="11.5703125" style="1"/>
    <col min="13822" max="13822" width="7.7109375" style="1" customWidth="1"/>
    <col min="13823" max="13823" width="12.42578125" style="1" customWidth="1"/>
    <col min="13824" max="13826" width="11.5703125" style="1"/>
    <col min="13827" max="13827" width="5.140625" style="1" customWidth="1"/>
    <col min="13828" max="13828" width="1.85546875" style="1" customWidth="1"/>
    <col min="13829" max="14077" width="11.5703125" style="1"/>
    <col min="14078" max="14078" width="7.7109375" style="1" customWidth="1"/>
    <col min="14079" max="14079" width="12.42578125" style="1" customWidth="1"/>
    <col min="14080" max="14082" width="11.5703125" style="1"/>
    <col min="14083" max="14083" width="5.140625" style="1" customWidth="1"/>
    <col min="14084" max="14084" width="1.85546875" style="1" customWidth="1"/>
    <col min="14085" max="14333" width="11.5703125" style="1"/>
    <col min="14334" max="14334" width="7.7109375" style="1" customWidth="1"/>
    <col min="14335" max="14335" width="12.42578125" style="1" customWidth="1"/>
    <col min="14336" max="14338" width="11.5703125" style="1"/>
    <col min="14339" max="14339" width="5.140625" style="1" customWidth="1"/>
    <col min="14340" max="14340" width="1.85546875" style="1" customWidth="1"/>
    <col min="14341" max="14589" width="11.5703125" style="1"/>
    <col min="14590" max="14590" width="7.7109375" style="1" customWidth="1"/>
    <col min="14591" max="14591" width="12.42578125" style="1" customWidth="1"/>
    <col min="14592" max="14594" width="11.5703125" style="1"/>
    <col min="14595" max="14595" width="5.140625" style="1" customWidth="1"/>
    <col min="14596" max="14596" width="1.85546875" style="1" customWidth="1"/>
    <col min="14597" max="14845" width="11.5703125" style="1"/>
    <col min="14846" max="14846" width="7.7109375" style="1" customWidth="1"/>
    <col min="14847" max="14847" width="12.42578125" style="1" customWidth="1"/>
    <col min="14848" max="14850" width="11.5703125" style="1"/>
    <col min="14851" max="14851" width="5.140625" style="1" customWidth="1"/>
    <col min="14852" max="14852" width="1.85546875" style="1" customWidth="1"/>
    <col min="14853" max="15101" width="11.5703125" style="1"/>
    <col min="15102" max="15102" width="7.7109375" style="1" customWidth="1"/>
    <col min="15103" max="15103" width="12.42578125" style="1" customWidth="1"/>
    <col min="15104" max="15106" width="11.5703125" style="1"/>
    <col min="15107" max="15107" width="5.140625" style="1" customWidth="1"/>
    <col min="15108" max="15108" width="1.85546875" style="1" customWidth="1"/>
    <col min="15109" max="15357" width="11.5703125" style="1"/>
    <col min="15358" max="15358" width="7.7109375" style="1" customWidth="1"/>
    <col min="15359" max="15359" width="12.42578125" style="1" customWidth="1"/>
    <col min="15360" max="15362" width="11.5703125" style="1"/>
    <col min="15363" max="15363" width="5.140625" style="1" customWidth="1"/>
    <col min="15364" max="15364" width="1.85546875" style="1" customWidth="1"/>
    <col min="15365" max="15613" width="11.5703125" style="1"/>
    <col min="15614" max="15614" width="7.7109375" style="1" customWidth="1"/>
    <col min="15615" max="15615" width="12.42578125" style="1" customWidth="1"/>
    <col min="15616" max="15618" width="11.5703125" style="1"/>
    <col min="15619" max="15619" width="5.140625" style="1" customWidth="1"/>
    <col min="15620" max="15620" width="1.85546875" style="1" customWidth="1"/>
    <col min="15621" max="15869" width="11.5703125" style="1"/>
    <col min="15870" max="15870" width="7.7109375" style="1" customWidth="1"/>
    <col min="15871" max="15871" width="12.42578125" style="1" customWidth="1"/>
    <col min="15872" max="15874" width="11.5703125" style="1"/>
    <col min="15875" max="15875" width="5.140625" style="1" customWidth="1"/>
    <col min="15876" max="15876" width="1.85546875" style="1" customWidth="1"/>
    <col min="15877" max="16125" width="11.5703125" style="1"/>
    <col min="16126" max="16126" width="7.7109375" style="1" customWidth="1"/>
    <col min="16127" max="16127" width="12.42578125" style="1" customWidth="1"/>
    <col min="16128" max="16130" width="11.5703125" style="1"/>
    <col min="16131" max="16131" width="5.140625" style="1" customWidth="1"/>
    <col min="16132" max="16132" width="1.85546875" style="1" customWidth="1"/>
    <col min="16133" max="16384" width="11.5703125" style="1"/>
  </cols>
  <sheetData>
    <row r="1" spans="1:17" ht="9.75" customHeight="1" x14ac:dyDescent="0.2"/>
    <row r="2" spans="1:17" ht="30" customHeight="1" x14ac:dyDescent="0.2">
      <c r="A2" s="1">
        <f ca="1">2:27</f>
        <v>0</v>
      </c>
      <c r="B2" s="98" t="s">
        <v>0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</row>
    <row r="3" spans="1:17" ht="9" customHeight="1" thickBot="1" x14ac:dyDescent="0.25"/>
    <row r="4" spans="1:17" ht="20.100000000000001" customHeight="1" thickBot="1" x14ac:dyDescent="0.25">
      <c r="B4" s="99"/>
      <c r="C4" s="100"/>
      <c r="D4" s="2" t="s">
        <v>1</v>
      </c>
      <c r="E4" s="105"/>
      <c r="F4" s="53"/>
      <c r="G4" s="53"/>
      <c r="H4" s="53"/>
      <c r="I4" s="53"/>
      <c r="J4" s="53"/>
      <c r="K4" s="53"/>
      <c r="L4" s="106"/>
      <c r="M4" s="3"/>
      <c r="N4" s="4" t="s">
        <v>2</v>
      </c>
    </row>
    <row r="5" spans="1:17" ht="20.100000000000001" customHeight="1" thickBot="1" x14ac:dyDescent="0.25">
      <c r="B5" s="101"/>
      <c r="C5" s="102"/>
      <c r="D5" s="2" t="s">
        <v>38</v>
      </c>
      <c r="E5" s="53"/>
      <c r="F5" s="53"/>
      <c r="G5" s="53"/>
      <c r="H5" s="53"/>
      <c r="I5" s="53"/>
      <c r="J5" s="53"/>
      <c r="K5" s="53"/>
      <c r="L5" s="106"/>
      <c r="M5" s="3"/>
      <c r="N5" s="5" t="s">
        <v>3</v>
      </c>
      <c r="Q5" s="6">
        <v>0</v>
      </c>
    </row>
    <row r="6" spans="1:17" ht="20.100000000000001" customHeight="1" thickBot="1" x14ac:dyDescent="0.25">
      <c r="B6" s="101"/>
      <c r="C6" s="102"/>
      <c r="D6" s="2" t="s">
        <v>4</v>
      </c>
      <c r="E6" s="53"/>
      <c r="F6" s="53"/>
      <c r="G6" s="7" t="s">
        <v>5</v>
      </c>
      <c r="H6" s="7"/>
      <c r="I6" s="7"/>
      <c r="J6" s="7"/>
      <c r="K6" s="7"/>
      <c r="L6" s="8"/>
      <c r="M6" s="3"/>
      <c r="N6" s="5" t="s">
        <v>6</v>
      </c>
      <c r="Q6" s="6">
        <v>1</v>
      </c>
    </row>
    <row r="7" spans="1:17" ht="20.100000000000001" customHeight="1" thickBot="1" x14ac:dyDescent="0.25">
      <c r="B7" s="103"/>
      <c r="C7" s="104"/>
      <c r="D7" s="2" t="s">
        <v>7</v>
      </c>
      <c r="E7" s="53"/>
      <c r="F7" s="53"/>
      <c r="G7" s="53"/>
      <c r="H7" s="45" t="s">
        <v>12</v>
      </c>
      <c r="I7" s="46"/>
      <c r="J7" s="46"/>
      <c r="K7" s="46"/>
      <c r="L7" s="46"/>
      <c r="M7" s="3"/>
      <c r="N7" s="5" t="s">
        <v>8</v>
      </c>
      <c r="Q7" s="6">
        <v>2</v>
      </c>
    </row>
    <row r="8" spans="1:17" ht="27" customHeight="1" thickBot="1" x14ac:dyDescent="0.25">
      <c r="B8" s="45" t="s">
        <v>9</v>
      </c>
      <c r="C8" s="96"/>
      <c r="D8" s="45" t="s">
        <v>10</v>
      </c>
      <c r="E8" s="46"/>
      <c r="F8" s="96"/>
      <c r="G8" s="9" t="s">
        <v>11</v>
      </c>
      <c r="H8" s="4" t="s">
        <v>51</v>
      </c>
      <c r="I8" s="4" t="s">
        <v>52</v>
      </c>
      <c r="J8" s="4" t="s">
        <v>53</v>
      </c>
      <c r="K8" s="4" t="s">
        <v>54</v>
      </c>
      <c r="L8" s="4" t="s">
        <v>55</v>
      </c>
      <c r="M8" s="3"/>
      <c r="N8" s="5" t="s">
        <v>13</v>
      </c>
      <c r="Q8" s="6">
        <v>3</v>
      </c>
    </row>
    <row r="9" spans="1:17" ht="20.100000000000001" customHeight="1" thickBot="1" x14ac:dyDescent="0.25">
      <c r="B9" s="57" t="s">
        <v>14</v>
      </c>
      <c r="C9" s="58"/>
      <c r="D9" s="47" t="s">
        <v>15</v>
      </c>
      <c r="E9" s="48"/>
      <c r="F9" s="49"/>
      <c r="G9" s="66" t="str">
        <f>IFERROR(+AVERAGE(H9:L14),"")</f>
        <v/>
      </c>
      <c r="H9" s="33"/>
      <c r="I9" s="34"/>
      <c r="J9" s="34"/>
      <c r="K9" s="34"/>
      <c r="L9" s="35"/>
      <c r="M9" s="3"/>
      <c r="N9" s="5" t="s">
        <v>16</v>
      </c>
      <c r="Q9" s="6">
        <v>4</v>
      </c>
    </row>
    <row r="10" spans="1:17" ht="20.100000000000001" customHeight="1" thickBot="1" x14ac:dyDescent="0.25">
      <c r="B10" s="59"/>
      <c r="C10" s="60"/>
      <c r="D10" s="47" t="s">
        <v>17</v>
      </c>
      <c r="E10" s="48"/>
      <c r="F10" s="49"/>
      <c r="G10" s="67"/>
      <c r="H10" s="23"/>
      <c r="I10" s="24"/>
      <c r="J10" s="24"/>
      <c r="K10" s="24"/>
      <c r="L10" s="17"/>
      <c r="M10" s="3"/>
      <c r="N10" s="12" t="s">
        <v>18</v>
      </c>
    </row>
    <row r="11" spans="1:17" ht="24.6" customHeight="1" thickBot="1" x14ac:dyDescent="0.25">
      <c r="B11" s="59"/>
      <c r="C11" s="60"/>
      <c r="D11" s="47" t="s">
        <v>41</v>
      </c>
      <c r="E11" s="48"/>
      <c r="F11" s="49"/>
      <c r="G11" s="67"/>
      <c r="H11" s="33"/>
      <c r="I11" s="34"/>
      <c r="J11" s="34"/>
      <c r="K11" s="34"/>
      <c r="L11" s="35"/>
      <c r="M11" s="3"/>
      <c r="N11" s="12"/>
    </row>
    <row r="12" spans="1:17" ht="45" customHeight="1" thickBot="1" x14ac:dyDescent="0.25">
      <c r="B12" s="59"/>
      <c r="C12" s="60"/>
      <c r="D12" s="87" t="s">
        <v>40</v>
      </c>
      <c r="E12" s="88"/>
      <c r="F12" s="97"/>
      <c r="G12" s="67"/>
      <c r="H12" s="33"/>
      <c r="I12" s="34"/>
      <c r="J12" s="34"/>
      <c r="K12" s="34"/>
      <c r="L12" s="35"/>
      <c r="M12" s="3"/>
      <c r="N12" s="12"/>
    </row>
    <row r="13" spans="1:17" ht="30" customHeight="1" thickBot="1" x14ac:dyDescent="0.25">
      <c r="B13" s="59"/>
      <c r="C13" s="60"/>
      <c r="D13" s="87" t="s">
        <v>19</v>
      </c>
      <c r="E13" s="88"/>
      <c r="F13" s="97"/>
      <c r="G13" s="67"/>
      <c r="H13" s="23"/>
      <c r="I13" s="24"/>
      <c r="J13" s="24"/>
      <c r="K13" s="24"/>
      <c r="L13" s="17"/>
      <c r="M13" s="3"/>
      <c r="N13" s="12"/>
    </row>
    <row r="14" spans="1:17" ht="41.45" customHeight="1" thickBot="1" x14ac:dyDescent="0.25">
      <c r="B14" s="61"/>
      <c r="C14" s="62"/>
      <c r="D14" s="87" t="s">
        <v>42</v>
      </c>
      <c r="E14" s="88"/>
      <c r="F14" s="97"/>
      <c r="G14" s="68"/>
      <c r="H14" s="33"/>
      <c r="I14" s="34"/>
      <c r="J14" s="34"/>
      <c r="K14" s="34"/>
      <c r="L14" s="35"/>
      <c r="M14" s="3"/>
      <c r="N14" s="14" t="s">
        <v>20</v>
      </c>
    </row>
    <row r="15" spans="1:17" s="15" customFormat="1" ht="17.25" customHeight="1" thickBot="1" x14ac:dyDescent="0.25">
      <c r="B15" s="80" t="s">
        <v>21</v>
      </c>
      <c r="C15" s="81"/>
      <c r="D15" s="81"/>
      <c r="E15" s="81"/>
      <c r="F15" s="81"/>
      <c r="G15" s="81"/>
      <c r="H15" s="81"/>
      <c r="I15" s="81"/>
      <c r="J15" s="81"/>
      <c r="K15" s="81"/>
      <c r="L15" s="82"/>
      <c r="M15" s="16"/>
      <c r="N15" s="36"/>
    </row>
    <row r="16" spans="1:17" ht="34.5" customHeight="1" thickBot="1" x14ac:dyDescent="0.25">
      <c r="B16" s="57" t="s">
        <v>22</v>
      </c>
      <c r="C16" s="58"/>
      <c r="D16" s="87" t="s">
        <v>43</v>
      </c>
      <c r="E16" s="88"/>
      <c r="F16" s="88"/>
      <c r="G16" s="66" t="str">
        <f>+IFERROR(AVERAGE(H16:L22),"")</f>
        <v/>
      </c>
      <c r="H16" s="33"/>
      <c r="I16" s="34"/>
      <c r="J16" s="34"/>
      <c r="K16" s="34"/>
      <c r="L16" s="35"/>
      <c r="M16" s="3"/>
      <c r="N16" s="37"/>
    </row>
    <row r="17" spans="2:14" ht="20.100000000000001" customHeight="1" thickBot="1" x14ac:dyDescent="0.25">
      <c r="B17" s="59"/>
      <c r="C17" s="60"/>
      <c r="D17" s="47" t="s">
        <v>23</v>
      </c>
      <c r="E17" s="48"/>
      <c r="F17" s="48"/>
      <c r="G17" s="67"/>
      <c r="H17" s="24"/>
      <c r="I17" s="25"/>
      <c r="J17" s="25"/>
      <c r="K17" s="25"/>
      <c r="L17" s="17"/>
      <c r="M17" s="3"/>
      <c r="N17" s="37"/>
    </row>
    <row r="18" spans="2:14" ht="20.100000000000001" customHeight="1" thickBot="1" x14ac:dyDescent="0.25">
      <c r="B18" s="59"/>
      <c r="C18" s="60"/>
      <c r="D18" s="47" t="s">
        <v>24</v>
      </c>
      <c r="E18" s="48"/>
      <c r="F18" s="48"/>
      <c r="G18" s="67"/>
      <c r="H18" s="24"/>
      <c r="I18" s="25"/>
      <c r="J18" s="25"/>
      <c r="K18" s="25"/>
      <c r="L18" s="20"/>
      <c r="M18" s="3"/>
      <c r="N18" s="37"/>
    </row>
    <row r="19" spans="2:14" ht="20.100000000000001" customHeight="1" thickBot="1" x14ac:dyDescent="0.25">
      <c r="B19" s="59"/>
      <c r="C19" s="60"/>
      <c r="D19" s="47" t="s">
        <v>25</v>
      </c>
      <c r="E19" s="48"/>
      <c r="F19" s="48"/>
      <c r="G19" s="67"/>
      <c r="H19" s="24"/>
      <c r="I19" s="25"/>
      <c r="J19" s="25"/>
      <c r="K19" s="25"/>
      <c r="L19" s="17"/>
      <c r="M19" s="3"/>
      <c r="N19" s="37"/>
    </row>
    <row r="20" spans="2:14" ht="25.5" customHeight="1" thickBot="1" x14ac:dyDescent="0.25">
      <c r="B20" s="59"/>
      <c r="C20" s="60"/>
      <c r="D20" s="91" t="s">
        <v>26</v>
      </c>
      <c r="E20" s="92"/>
      <c r="F20" s="92"/>
      <c r="G20" s="67"/>
      <c r="H20" s="24"/>
      <c r="I20" s="25"/>
      <c r="J20" s="25"/>
      <c r="K20" s="25"/>
      <c r="L20" s="17"/>
      <c r="M20" s="3"/>
      <c r="N20" s="38"/>
    </row>
    <row r="21" spans="2:14" ht="20.100000000000001" customHeight="1" thickBot="1" x14ac:dyDescent="0.25">
      <c r="B21" s="83"/>
      <c r="C21" s="84"/>
      <c r="D21" s="93" t="s">
        <v>27</v>
      </c>
      <c r="E21" s="94"/>
      <c r="F21" s="95"/>
      <c r="G21" s="89"/>
      <c r="H21" s="18"/>
      <c r="I21" s="18"/>
      <c r="J21" s="18"/>
      <c r="K21" s="18"/>
      <c r="L21" s="11"/>
      <c r="M21" s="3"/>
      <c r="N21" s="14" t="s">
        <v>28</v>
      </c>
    </row>
    <row r="22" spans="2:14" ht="20.25" customHeight="1" thickBot="1" x14ac:dyDescent="0.25">
      <c r="B22" s="85"/>
      <c r="C22" s="86"/>
      <c r="D22" s="93" t="s">
        <v>44</v>
      </c>
      <c r="E22" s="94"/>
      <c r="F22" s="95"/>
      <c r="G22" s="90"/>
      <c r="H22" s="18"/>
      <c r="I22" s="18"/>
      <c r="J22" s="18"/>
      <c r="K22" s="18"/>
      <c r="L22" s="11"/>
      <c r="M22" s="3"/>
      <c r="N22" s="39"/>
    </row>
    <row r="23" spans="2:14" ht="20.100000000000001" customHeight="1" thickBot="1" x14ac:dyDescent="0.25">
      <c r="B23" s="72"/>
      <c r="C23" s="73"/>
      <c r="D23" s="73"/>
      <c r="E23" s="73"/>
      <c r="F23" s="73"/>
      <c r="G23" s="55"/>
      <c r="H23" s="55"/>
      <c r="I23" s="55"/>
      <c r="J23" s="55"/>
      <c r="K23" s="55"/>
      <c r="L23" s="56"/>
      <c r="M23" s="3"/>
      <c r="N23" s="40"/>
    </row>
    <row r="24" spans="2:14" ht="20.100000000000001" customHeight="1" thickBot="1" x14ac:dyDescent="0.25">
      <c r="B24" s="57" t="s">
        <v>29</v>
      </c>
      <c r="C24" s="74"/>
      <c r="D24" s="50" t="s">
        <v>30</v>
      </c>
      <c r="E24" s="51"/>
      <c r="F24" s="52"/>
      <c r="G24" s="77" t="str">
        <f>+IFERROR(AVERAGE(H24:L27),"")</f>
        <v/>
      </c>
      <c r="H24" s="24"/>
      <c r="I24" s="25"/>
      <c r="J24" s="25"/>
      <c r="K24" s="25"/>
      <c r="L24" s="11"/>
      <c r="M24" s="3"/>
      <c r="N24" s="40"/>
    </row>
    <row r="25" spans="2:14" ht="20.100000000000001" customHeight="1" thickBot="1" x14ac:dyDescent="0.25">
      <c r="B25" s="59"/>
      <c r="C25" s="75"/>
      <c r="D25" s="50" t="s">
        <v>31</v>
      </c>
      <c r="E25" s="51"/>
      <c r="F25" s="52"/>
      <c r="G25" s="78"/>
      <c r="H25" s="24"/>
      <c r="I25" s="25"/>
      <c r="J25" s="25"/>
      <c r="K25" s="25"/>
      <c r="L25" s="11"/>
      <c r="M25" s="3"/>
      <c r="N25" s="40"/>
    </row>
    <row r="26" spans="2:14" ht="20.100000000000001" customHeight="1" thickBot="1" x14ac:dyDescent="0.25">
      <c r="B26" s="59"/>
      <c r="C26" s="75"/>
      <c r="D26" s="50" t="s">
        <v>45</v>
      </c>
      <c r="E26" s="51"/>
      <c r="F26" s="52"/>
      <c r="G26" s="78"/>
      <c r="H26" s="24"/>
      <c r="I26" s="25"/>
      <c r="J26" s="25"/>
      <c r="K26" s="25"/>
      <c r="L26" s="11"/>
      <c r="M26" s="3"/>
      <c r="N26" s="40"/>
    </row>
    <row r="27" spans="2:14" ht="20.100000000000001" customHeight="1" thickBot="1" x14ac:dyDescent="0.25">
      <c r="B27" s="61"/>
      <c r="C27" s="76"/>
      <c r="D27" s="50" t="s">
        <v>32</v>
      </c>
      <c r="E27" s="51"/>
      <c r="F27" s="52"/>
      <c r="G27" s="79"/>
      <c r="H27" s="19"/>
      <c r="I27" s="19"/>
      <c r="J27" s="19"/>
      <c r="K27" s="19"/>
      <c r="L27" s="20"/>
      <c r="M27" s="3"/>
      <c r="N27" s="40"/>
    </row>
    <row r="28" spans="2:14" ht="20.100000000000001" customHeight="1" thickBot="1" x14ac:dyDescent="0.25">
      <c r="B28" s="54"/>
      <c r="C28" s="55"/>
      <c r="D28" s="55"/>
      <c r="E28" s="55"/>
      <c r="F28" s="55"/>
      <c r="G28" s="55"/>
      <c r="H28" s="55"/>
      <c r="I28" s="55"/>
      <c r="J28" s="55"/>
      <c r="K28" s="55"/>
      <c r="L28" s="56"/>
      <c r="M28" s="3"/>
      <c r="N28" s="41"/>
    </row>
    <row r="29" spans="2:14" ht="20.100000000000001" customHeight="1" thickBot="1" x14ac:dyDescent="0.25">
      <c r="B29" s="57" t="s">
        <v>33</v>
      </c>
      <c r="C29" s="58"/>
      <c r="D29" s="47" t="s">
        <v>34</v>
      </c>
      <c r="E29" s="48"/>
      <c r="F29" s="48"/>
      <c r="G29" s="66" t="str">
        <f>+IFERROR(AVERAGE(H29:L32),"")</f>
        <v/>
      </c>
      <c r="H29" s="24"/>
      <c r="I29" s="24"/>
      <c r="J29" s="24"/>
      <c r="K29" s="24"/>
      <c r="L29" s="11"/>
      <c r="M29" s="3"/>
      <c r="N29" s="14" t="s">
        <v>39</v>
      </c>
    </row>
    <row r="30" spans="2:14" ht="20.100000000000001" customHeight="1" thickBot="1" x14ac:dyDescent="0.25">
      <c r="B30" s="59"/>
      <c r="C30" s="60"/>
      <c r="D30" s="47" t="s">
        <v>35</v>
      </c>
      <c r="E30" s="48"/>
      <c r="F30" s="48"/>
      <c r="G30" s="67"/>
      <c r="H30" s="24"/>
      <c r="I30" s="24"/>
      <c r="J30" s="24"/>
      <c r="K30" s="24"/>
      <c r="L30" s="11"/>
      <c r="M30" s="3"/>
      <c r="N30" s="42"/>
    </row>
    <row r="31" spans="2:14" ht="24.75" customHeight="1" thickBot="1" x14ac:dyDescent="0.25">
      <c r="B31" s="59"/>
      <c r="C31" s="60"/>
      <c r="D31" s="69" t="s">
        <v>46</v>
      </c>
      <c r="E31" s="70"/>
      <c r="F31" s="71"/>
      <c r="G31" s="67"/>
      <c r="H31" s="24"/>
      <c r="I31" s="24"/>
      <c r="J31" s="24"/>
      <c r="K31" s="24"/>
      <c r="L31" s="11"/>
      <c r="M31" s="3"/>
      <c r="N31" s="43"/>
    </row>
    <row r="32" spans="2:14" ht="18" customHeight="1" thickBot="1" x14ac:dyDescent="0.25">
      <c r="B32" s="61"/>
      <c r="C32" s="62"/>
      <c r="D32" s="47" t="s">
        <v>47</v>
      </c>
      <c r="E32" s="48"/>
      <c r="F32" s="48"/>
      <c r="G32" s="68"/>
      <c r="H32" s="13"/>
      <c r="I32" s="13"/>
      <c r="J32" s="13"/>
      <c r="K32" s="13"/>
      <c r="L32" s="11"/>
      <c r="M32" s="3"/>
      <c r="N32" s="43"/>
    </row>
    <row r="33" spans="2:14" ht="20.100000000000001" customHeight="1" thickBot="1" x14ac:dyDescent="0.25">
      <c r="B33" s="54"/>
      <c r="C33" s="55"/>
      <c r="D33" s="55"/>
      <c r="E33" s="55"/>
      <c r="F33" s="55"/>
      <c r="G33" s="55"/>
      <c r="H33" s="55"/>
      <c r="I33" s="55"/>
      <c r="J33" s="55"/>
      <c r="K33" s="55"/>
      <c r="L33" s="56"/>
      <c r="M33" s="3"/>
      <c r="N33" s="43"/>
    </row>
    <row r="34" spans="2:14" ht="20.100000000000001" customHeight="1" thickBot="1" x14ac:dyDescent="0.25">
      <c r="B34" s="57" t="s">
        <v>36</v>
      </c>
      <c r="C34" s="58"/>
      <c r="D34" s="47" t="s">
        <v>50</v>
      </c>
      <c r="E34" s="48"/>
      <c r="F34" s="48"/>
      <c r="G34" s="63" t="str">
        <f>+IFERROR(AVERAGE(H34:L37),"")</f>
        <v/>
      </c>
      <c r="H34" s="11"/>
      <c r="I34" s="11"/>
      <c r="J34" s="11"/>
      <c r="K34" s="11"/>
      <c r="L34" s="11"/>
      <c r="M34" s="3"/>
      <c r="N34" s="43"/>
    </row>
    <row r="35" spans="2:14" ht="20.100000000000001" customHeight="1" thickBot="1" x14ac:dyDescent="0.25">
      <c r="B35" s="59"/>
      <c r="C35" s="60"/>
      <c r="D35" s="47" t="s">
        <v>48</v>
      </c>
      <c r="E35" s="48"/>
      <c r="F35" s="48"/>
      <c r="G35" s="64"/>
      <c r="H35" s="11"/>
      <c r="I35" s="11"/>
      <c r="J35" s="11"/>
      <c r="K35" s="11"/>
      <c r="L35" s="11"/>
      <c r="M35" s="3"/>
      <c r="N35" s="43"/>
    </row>
    <row r="36" spans="2:14" ht="20.100000000000001" customHeight="1" thickBot="1" x14ac:dyDescent="0.25">
      <c r="B36" s="59"/>
      <c r="C36" s="60"/>
      <c r="D36" s="47" t="s">
        <v>62</v>
      </c>
      <c r="E36" s="48"/>
      <c r="F36" s="48"/>
      <c r="G36" s="64"/>
      <c r="H36" s="11"/>
      <c r="I36" s="11"/>
      <c r="J36" s="11"/>
      <c r="K36" s="11"/>
      <c r="L36" s="11"/>
      <c r="M36" s="3"/>
      <c r="N36" s="43"/>
    </row>
    <row r="37" spans="2:14" ht="20.100000000000001" customHeight="1" thickBot="1" x14ac:dyDescent="0.25">
      <c r="B37" s="61"/>
      <c r="C37" s="62"/>
      <c r="D37" s="47" t="s">
        <v>49</v>
      </c>
      <c r="E37" s="48"/>
      <c r="F37" s="48"/>
      <c r="G37" s="65"/>
      <c r="H37" s="21"/>
      <c r="I37" s="21"/>
      <c r="J37" s="21"/>
      <c r="K37" s="21"/>
      <c r="L37" s="11"/>
      <c r="M37" s="3"/>
      <c r="N37" s="44"/>
    </row>
    <row r="38" spans="2:14" ht="20.100000000000001" customHeight="1" thickBot="1" x14ac:dyDescent="0.25">
      <c r="B38" s="45" t="s">
        <v>37</v>
      </c>
      <c r="C38" s="46"/>
      <c r="D38" s="46"/>
      <c r="E38" s="46"/>
      <c r="F38" s="46"/>
      <c r="G38" s="30" t="str">
        <f>+IFERROR(AVERAGE(G34,G29,G24,G16,G9),"")</f>
        <v/>
      </c>
      <c r="H38" s="31"/>
      <c r="I38" s="31"/>
      <c r="J38" s="31"/>
      <c r="K38" s="31"/>
      <c r="L38" s="32"/>
      <c r="M38" s="3"/>
      <c r="N38" s="22"/>
    </row>
    <row r="39" spans="2:14" ht="20.100000000000001" customHeight="1" x14ac:dyDescent="0.2">
      <c r="M39" s="3"/>
      <c r="N39" s="3"/>
    </row>
    <row r="40" spans="2:14" ht="20.100000000000001" customHeight="1" x14ac:dyDescent="0.2">
      <c r="M40" s="3"/>
      <c r="N40" s="3"/>
    </row>
    <row r="41" spans="2:14" ht="9.75" customHeight="1" x14ac:dyDescent="0.2"/>
  </sheetData>
  <mergeCells count="57">
    <mergeCell ref="B2:N2"/>
    <mergeCell ref="B4:C7"/>
    <mergeCell ref="E4:L4"/>
    <mergeCell ref="E5:L5"/>
    <mergeCell ref="E6:F6"/>
    <mergeCell ref="G9:G14"/>
    <mergeCell ref="D10:F10"/>
    <mergeCell ref="D12:F12"/>
    <mergeCell ref="D13:F13"/>
    <mergeCell ref="D14:F14"/>
    <mergeCell ref="D21:F21"/>
    <mergeCell ref="D22:F22"/>
    <mergeCell ref="B8:C8"/>
    <mergeCell ref="D8:F8"/>
    <mergeCell ref="B9:C14"/>
    <mergeCell ref="D9:F9"/>
    <mergeCell ref="D30:F30"/>
    <mergeCell ref="D31:F31"/>
    <mergeCell ref="D32:F32"/>
    <mergeCell ref="B23:L23"/>
    <mergeCell ref="B24:C27"/>
    <mergeCell ref="D24:F24"/>
    <mergeCell ref="G24:G27"/>
    <mergeCell ref="D25:F25"/>
    <mergeCell ref="D26:F26"/>
    <mergeCell ref="D11:F11"/>
    <mergeCell ref="D27:F27"/>
    <mergeCell ref="E7:G7"/>
    <mergeCell ref="H7:L7"/>
    <mergeCell ref="H11:L11"/>
    <mergeCell ref="H12:L12"/>
    <mergeCell ref="H9:L9"/>
    <mergeCell ref="H14:L14"/>
    <mergeCell ref="B15:L15"/>
    <mergeCell ref="B16:C22"/>
    <mergeCell ref="D16:F16"/>
    <mergeCell ref="G16:G22"/>
    <mergeCell ref="D17:F17"/>
    <mergeCell ref="D18:F18"/>
    <mergeCell ref="D19:F19"/>
    <mergeCell ref="D20:F20"/>
    <mergeCell ref="H16:L16"/>
    <mergeCell ref="N15:N20"/>
    <mergeCell ref="N22:N28"/>
    <mergeCell ref="N30:N37"/>
    <mergeCell ref="B38:F38"/>
    <mergeCell ref="B33:L33"/>
    <mergeCell ref="B34:C37"/>
    <mergeCell ref="D34:F34"/>
    <mergeCell ref="G34:G37"/>
    <mergeCell ref="D35:F35"/>
    <mergeCell ref="D36:F36"/>
    <mergeCell ref="D37:F37"/>
    <mergeCell ref="B28:L28"/>
    <mergeCell ref="B29:C32"/>
    <mergeCell ref="D29:F29"/>
    <mergeCell ref="G29:G32"/>
  </mergeCells>
  <phoneticPr fontId="11" type="noConversion"/>
  <dataValidations count="1">
    <dataValidation type="list" allowBlank="1" showInputMessage="1" showErrorMessage="1" sqref="L13 L34:L37 L29:L32 L24:L27 L10 L17:L22" xr:uid="{908043F2-EA51-4D13-B826-B2844D3AC65B}">
      <formula1>$Q$5:$Q$9</formula1>
    </dataValidation>
  </dataValidations>
  <pageMargins left="0.25" right="0.25" top="0.75" bottom="0.75" header="0.3" footer="0.3"/>
  <pageSetup paperSize="9" scale="4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C9ADC-AB66-4964-83E6-27E331573D17}">
  <dimension ref="A1:D10"/>
  <sheetViews>
    <sheetView workbookViewId="0">
      <selection activeCell="E14" sqref="E14"/>
    </sheetView>
  </sheetViews>
  <sheetFormatPr baseColWidth="10" defaultRowHeight="15" x14ac:dyDescent="0.25"/>
  <cols>
    <col min="1" max="1" width="11.5703125" customWidth="1"/>
    <col min="3" max="3" width="13.85546875" customWidth="1"/>
    <col min="4" max="4" width="39.28515625" customWidth="1"/>
  </cols>
  <sheetData>
    <row r="1" spans="1:4" ht="31.5" customHeight="1" thickBot="1" x14ac:dyDescent="0.3">
      <c r="A1" s="45" t="s">
        <v>60</v>
      </c>
      <c r="B1" s="46"/>
      <c r="C1" s="46"/>
      <c r="D1" s="10" t="s">
        <v>61</v>
      </c>
    </row>
    <row r="2" spans="1:4" ht="26.25" customHeight="1" thickBot="1" x14ac:dyDescent="0.3">
      <c r="A2" s="47" t="s">
        <v>15</v>
      </c>
      <c r="B2" s="48"/>
      <c r="C2" s="49"/>
      <c r="D2" s="26"/>
    </row>
    <row r="3" spans="1:4" ht="24.75" customHeight="1" thickBot="1" x14ac:dyDescent="0.3">
      <c r="A3" s="91" t="s">
        <v>26</v>
      </c>
      <c r="B3" s="92"/>
      <c r="C3" s="107"/>
      <c r="D3" s="27"/>
    </row>
    <row r="4" spans="1:4" ht="17.25" customHeight="1" thickBot="1" x14ac:dyDescent="0.3">
      <c r="A4" s="47" t="s">
        <v>34</v>
      </c>
      <c r="B4" s="48"/>
      <c r="C4" s="49"/>
      <c r="D4" s="26"/>
    </row>
    <row r="5" spans="1:4" ht="24.75" customHeight="1" thickBot="1" x14ac:dyDescent="0.3">
      <c r="A5" s="87" t="s">
        <v>35</v>
      </c>
      <c r="B5" s="88"/>
      <c r="C5" s="97"/>
      <c r="D5" s="28"/>
    </row>
    <row r="6" spans="1:4" ht="25.5" customHeight="1" thickBot="1" x14ac:dyDescent="0.3">
      <c r="A6" s="69" t="s">
        <v>46</v>
      </c>
      <c r="B6" s="70"/>
      <c r="C6" s="71"/>
      <c r="D6" s="29"/>
    </row>
    <row r="7" spans="1:4" ht="15.75" thickBot="1" x14ac:dyDescent="0.3">
      <c r="A7" s="69" t="s">
        <v>56</v>
      </c>
      <c r="B7" s="70"/>
      <c r="C7" s="71"/>
      <c r="D7" s="29"/>
    </row>
    <row r="8" spans="1:4" ht="15.75" thickBot="1" x14ac:dyDescent="0.3">
      <c r="A8" s="69" t="s">
        <v>57</v>
      </c>
      <c r="B8" s="70"/>
      <c r="C8" s="71"/>
      <c r="D8" s="29"/>
    </row>
    <row r="9" spans="1:4" ht="15.75" thickBot="1" x14ac:dyDescent="0.3">
      <c r="A9" s="69" t="s">
        <v>58</v>
      </c>
      <c r="B9" s="70"/>
      <c r="C9" s="71"/>
      <c r="D9" s="29"/>
    </row>
    <row r="10" spans="1:4" ht="15.75" thickBot="1" x14ac:dyDescent="0.3">
      <c r="A10" s="69" t="s">
        <v>59</v>
      </c>
      <c r="B10" s="70"/>
      <c r="C10" s="71"/>
      <c r="D10" s="29"/>
    </row>
  </sheetData>
  <mergeCells count="10">
    <mergeCell ref="A8:C8"/>
    <mergeCell ref="A9:C9"/>
    <mergeCell ref="A10:C10"/>
    <mergeCell ref="A1:C1"/>
    <mergeCell ref="A3:C3"/>
    <mergeCell ref="A4:C4"/>
    <mergeCell ref="A5:C5"/>
    <mergeCell ref="A6:C6"/>
    <mergeCell ref="A2:C2"/>
    <mergeCell ref="A7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Evaluacion</vt:lpstr>
      <vt:lpstr>Registro Fotografico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lastPrinted>2026-07-12T17:28:03Z</cp:lastPrinted>
  <dcterms:created xsi:type="dcterms:W3CDTF">2026-07-12T16:09:56Z</dcterms:created>
  <dcterms:modified xsi:type="dcterms:W3CDTF">2026-07-12T21:22:18Z</dcterms:modified>
</cp:coreProperties>
</file>